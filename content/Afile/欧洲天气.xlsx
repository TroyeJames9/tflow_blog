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_usr_local\desktop\"/>
    </mc:Choice>
  </mc:AlternateContent>
  <xr:revisionPtr revIDLastSave="0" documentId="13_ncr:1_{25939F91-5273-4BE8-A5C7-C98FF79A93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E11" i="1"/>
  <c r="F11" i="1"/>
  <c r="G11" i="1"/>
  <c r="H11" i="1"/>
  <c r="I11" i="1"/>
  <c r="J11" i="1"/>
  <c r="K11" i="1"/>
  <c r="L11" i="1"/>
  <c r="M11" i="1"/>
  <c r="N11" i="1"/>
  <c r="O11" i="1"/>
  <c r="D12" i="1"/>
  <c r="E12" i="1"/>
  <c r="F12" i="1"/>
  <c r="G12" i="1"/>
  <c r="H12" i="1"/>
  <c r="I12" i="1"/>
  <c r="J12" i="1"/>
  <c r="K12" i="1"/>
  <c r="L12" i="1"/>
  <c r="M12" i="1"/>
  <c r="N12" i="1"/>
  <c r="O12" i="1"/>
  <c r="D13" i="1"/>
  <c r="E13" i="1"/>
  <c r="F13" i="1"/>
  <c r="G13" i="1"/>
  <c r="H13" i="1"/>
  <c r="I13" i="1"/>
  <c r="J13" i="1"/>
  <c r="K13" i="1"/>
  <c r="L13" i="1"/>
  <c r="M13" i="1"/>
  <c r="N13" i="1"/>
  <c r="O13" i="1"/>
  <c r="D6" i="1"/>
  <c r="E6" i="1"/>
  <c r="F6" i="1"/>
  <c r="G6" i="1"/>
  <c r="H6" i="1"/>
  <c r="I6" i="1"/>
  <c r="J6" i="1"/>
  <c r="K6" i="1"/>
  <c r="L6" i="1"/>
  <c r="M6" i="1"/>
  <c r="N6" i="1"/>
  <c r="O6" i="1"/>
  <c r="D7" i="1"/>
  <c r="E7" i="1"/>
  <c r="F7" i="1"/>
  <c r="G7" i="1"/>
  <c r="H7" i="1"/>
  <c r="I7" i="1"/>
  <c r="J7" i="1"/>
  <c r="K7" i="1"/>
  <c r="L7" i="1"/>
  <c r="M7" i="1"/>
  <c r="N7" i="1"/>
  <c r="O7" i="1"/>
  <c r="D8" i="1"/>
  <c r="E8" i="1"/>
  <c r="F8" i="1"/>
  <c r="G8" i="1"/>
  <c r="H8" i="1"/>
  <c r="I8" i="1"/>
  <c r="J8" i="1"/>
  <c r="K8" i="1"/>
  <c r="L8" i="1"/>
  <c r="M8" i="1"/>
  <c r="N8" i="1"/>
  <c r="O8" i="1"/>
  <c r="D9" i="1"/>
  <c r="E9" i="1"/>
  <c r="F9" i="1"/>
  <c r="G9" i="1"/>
  <c r="H9" i="1"/>
  <c r="I9" i="1"/>
  <c r="J9" i="1"/>
  <c r="K9" i="1"/>
  <c r="L9" i="1"/>
  <c r="M9" i="1"/>
  <c r="N9" i="1"/>
  <c r="O9" i="1"/>
  <c r="D10" i="1"/>
  <c r="E10" i="1"/>
  <c r="F10" i="1"/>
  <c r="G10" i="1"/>
  <c r="H10" i="1"/>
  <c r="I10" i="1"/>
  <c r="J10" i="1"/>
  <c r="K10" i="1"/>
  <c r="L10" i="1"/>
  <c r="M10" i="1"/>
  <c r="N10" i="1"/>
  <c r="O10" i="1"/>
  <c r="D2" i="1"/>
  <c r="E2" i="1"/>
  <c r="F2" i="1"/>
  <c r="G2" i="1"/>
  <c r="H2" i="1"/>
  <c r="I2" i="1"/>
  <c r="J2" i="1"/>
  <c r="K2" i="1"/>
  <c r="L2" i="1"/>
  <c r="M2" i="1"/>
  <c r="N2" i="1"/>
  <c r="O2" i="1"/>
  <c r="D3" i="1"/>
  <c r="E3" i="1"/>
  <c r="F3" i="1"/>
  <c r="G3" i="1"/>
  <c r="H3" i="1"/>
  <c r="I3" i="1"/>
  <c r="J3" i="1"/>
  <c r="K3" i="1"/>
  <c r="L3" i="1"/>
  <c r="M3" i="1"/>
  <c r="N3" i="1"/>
  <c r="O3" i="1"/>
  <c r="D4" i="1"/>
  <c r="E4" i="1"/>
  <c r="F4" i="1"/>
  <c r="G4" i="1"/>
  <c r="H4" i="1"/>
  <c r="I4" i="1"/>
  <c r="J4" i="1"/>
  <c r="K4" i="1"/>
  <c r="L4" i="1"/>
  <c r="M4" i="1"/>
  <c r="N4" i="1"/>
  <c r="O4" i="1"/>
  <c r="D5" i="1"/>
  <c r="E5" i="1"/>
  <c r="F5" i="1"/>
  <c r="G5" i="1"/>
  <c r="H5" i="1"/>
  <c r="I5" i="1"/>
  <c r="J5" i="1"/>
  <c r="K5" i="1"/>
  <c r="L5" i="1"/>
  <c r="M5" i="1"/>
  <c r="N5" i="1"/>
  <c r="O5" i="1"/>
</calcChain>
</file>

<file path=xl/sharedStrings.xml><?xml version="1.0" encoding="utf-8"?>
<sst xmlns="http://schemas.openxmlformats.org/spreadsheetml/2006/main" count="221" uniqueCount="123">
  <si>
    <t>国家</t>
    <phoneticPr fontId="1" type="noConversion"/>
  </si>
  <si>
    <t>城市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</si>
  <si>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</si>
  <si>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</si>
  <si>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</si>
  <si>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</si>
  <si>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</si>
  <si>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</si>
  <si>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</si>
  <si>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</si>
  <si>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</si>
  <si>
    <t>10月</t>
  </si>
  <si>
    <t>11月</t>
  </si>
  <si>
    <t>12月</t>
  </si>
  <si>
    <t>德国</t>
    <phoneticPr fontId="1" type="noConversion"/>
  </si>
  <si>
    <t>柏林</t>
  </si>
  <si>
    <t>7.2日</t>
  </si>
  <si>
    <t>6.0日</t>
  </si>
  <si>
    <t>6.4日</t>
  </si>
  <si>
    <t>5.2日</t>
  </si>
  <si>
    <t>7.1日</t>
  </si>
  <si>
    <t>7.9日</t>
  </si>
  <si>
    <t>8.4日</t>
  </si>
  <si>
    <t>7.6日</t>
  </si>
  <si>
    <t>6.2日</t>
  </si>
  <si>
    <t>6.1日</t>
  </si>
  <si>
    <t>6.6日</t>
  </si>
  <si>
    <t>8.1日</t>
  </si>
  <si>
    <t>汉堡市</t>
  </si>
  <si>
    <t>9.2日</t>
  </si>
  <si>
    <t>7.3日</t>
  </si>
  <si>
    <t>6.8日</t>
  </si>
  <si>
    <t>9.3日</t>
  </si>
  <si>
    <t>10.1日</t>
  </si>
  <si>
    <t>9.1日</t>
  </si>
  <si>
    <t>8.0日</t>
  </si>
  <si>
    <t>8.8日</t>
  </si>
  <si>
    <t>9.0日</t>
  </si>
  <si>
    <t>9.5日</t>
  </si>
  <si>
    <t>慕尼黑</t>
  </si>
  <si>
    <t>8.3日</t>
  </si>
  <si>
    <t>9.7日</t>
  </si>
  <si>
    <t>12.5日</t>
  </si>
  <si>
    <t>14.2日</t>
  </si>
  <si>
    <t>13.9日</t>
  </si>
  <si>
    <t>12.3日</t>
  </si>
  <si>
    <t>9.9日</t>
  </si>
  <si>
    <t>8.2日</t>
  </si>
  <si>
    <t>8.6日</t>
  </si>
  <si>
    <t>科隆</t>
  </si>
  <si>
    <t>9.4日</t>
  </si>
  <si>
    <t>7.7日</t>
  </si>
  <si>
    <t>9.6日</t>
  </si>
  <si>
    <t>10.3日</t>
  </si>
  <si>
    <t>8.9日</t>
  </si>
  <si>
    <t>10.5日</t>
  </si>
  <si>
    <t>原数据</t>
    <phoneticPr fontId="1" type="noConversion"/>
  </si>
  <si>
    <t>谷歌文案</t>
    <phoneticPr fontId="1" type="noConversion"/>
  </si>
  <si>
    <t>法国历史各月份降雨概率</t>
  </si>
  <si>
    <t>巴黎</t>
  </si>
  <si>
    <t>7.0日</t>
  </si>
  <si>
    <t>7.8日</t>
  </si>
  <si>
    <t>马赛</t>
  </si>
  <si>
    <t>4.9日</t>
  </si>
  <si>
    <t>4.3日</t>
  </si>
  <si>
    <t>4.4日</t>
  </si>
  <si>
    <t>5.3日</t>
  </si>
  <si>
    <t>4.7日</t>
  </si>
  <si>
    <t>3.3日</t>
  </si>
  <si>
    <t>1.8日</t>
  </si>
  <si>
    <t>2.7日</t>
  </si>
  <si>
    <t>5.0日</t>
  </si>
  <si>
    <t>4.8日</t>
  </si>
  <si>
    <t>布雷斯特</t>
  </si>
  <si>
    <t>5.9日</t>
  </si>
  <si>
    <t>5.5日</t>
  </si>
  <si>
    <t>5.6日</t>
  </si>
  <si>
    <t>10.7日</t>
  </si>
  <si>
    <t>11.3日</t>
  </si>
  <si>
    <t>斯特拉斯堡</t>
  </si>
  <si>
    <t>9.8日</t>
  </si>
  <si>
    <t>波尔多</t>
  </si>
  <si>
    <t>7.5日</t>
  </si>
  <si>
    <t>8.7日</t>
  </si>
  <si>
    <t>法国</t>
    <phoneticPr fontId="1" type="noConversion"/>
  </si>
  <si>
    <t>代表区域</t>
    <phoneticPr fontId="1" type="noConversion"/>
  </si>
  <si>
    <t>北部</t>
    <phoneticPr fontId="1" type="noConversion"/>
  </si>
  <si>
    <t>南部</t>
    <phoneticPr fontId="1" type="noConversion"/>
  </si>
  <si>
    <t>西部</t>
    <phoneticPr fontId="1" type="noConversion"/>
  </si>
  <si>
    <t>中部+东部</t>
    <phoneticPr fontId="1" type="noConversion"/>
  </si>
  <si>
    <t>西部</t>
    <phoneticPr fontId="1" type="noConversion"/>
  </si>
  <si>
    <t>东部</t>
    <phoneticPr fontId="1" type="noConversion"/>
  </si>
  <si>
    <t>中部+北部</t>
    <phoneticPr fontId="1" type="noConversion"/>
  </si>
  <si>
    <t>东南部</t>
    <phoneticPr fontId="1" type="noConversion"/>
  </si>
  <si>
    <t>西北部</t>
    <phoneticPr fontId="1" type="noConversion"/>
  </si>
  <si>
    <t>西南部</t>
    <phoneticPr fontId="1" type="noConversion"/>
  </si>
  <si>
    <t>瑞士</t>
    <phoneticPr fontId="1" type="noConversion"/>
  </si>
  <si>
    <t>苏黎世</t>
  </si>
  <si>
    <t>10.0日</t>
  </si>
  <si>
    <t>11.0日</t>
  </si>
  <si>
    <t>13.4日</t>
  </si>
  <si>
    <t>13.3日</t>
  </si>
  <si>
    <t>10.4日</t>
  </si>
  <si>
    <t>Genève</t>
  </si>
  <si>
    <t>11.6日</t>
  </si>
  <si>
    <t>伯尔尼</t>
  </si>
  <si>
    <t>12.8日</t>
  </si>
  <si>
    <t>12.4日</t>
  </si>
  <si>
    <t>10.8日</t>
  </si>
  <si>
    <t>日内瓦</t>
    <phoneticPr fontId="1" type="noConversion"/>
  </si>
  <si>
    <t>东北部</t>
    <phoneticPr fontId="1" type="noConversion"/>
  </si>
  <si>
    <t>西北部+南部</t>
    <phoneticPr fontId="1" type="noConversion"/>
  </si>
  <si>
    <t>季节分布</t>
    <phoneticPr fontId="1" type="noConversion"/>
  </si>
  <si>
    <t>春天</t>
    <phoneticPr fontId="1" type="noConversion"/>
  </si>
  <si>
    <t>夏天</t>
    <phoneticPr fontId="1" type="noConversion"/>
  </si>
  <si>
    <t>早秋</t>
    <phoneticPr fontId="1" type="noConversion"/>
  </si>
  <si>
    <t>晚秋</t>
    <phoneticPr fontId="1" type="noConversion"/>
  </si>
  <si>
    <t>东天</t>
    <phoneticPr fontId="1" type="noConversion"/>
  </si>
  <si>
    <t>3~5月</t>
    <phoneticPr fontId="1" type="noConversion"/>
  </si>
  <si>
    <t>6~8月</t>
    <phoneticPr fontId="1" type="noConversion"/>
  </si>
  <si>
    <t>9~10月</t>
    <phoneticPr fontId="1" type="noConversion"/>
  </si>
  <si>
    <t>11月</t>
    <phoneticPr fontId="1" type="noConversion"/>
  </si>
  <si>
    <t>12~2月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</si>
</sst>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10" fontId="2" fillId="2" borderId="1" xfId="0" applyNumberFormat="1" applyFont="1" applyFill="1" applyBorder="1"/>
    <xf numFmtId="9" fontId="2" fillId="2" borderId="1" xfId="0" applyNumberFormat="1" applyFont="1" applyFill="1" applyBorder="1"/>
    <xf numFmtId="9" fontId="2" fillId="3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activeCell="S28" sqref="S28"/>
    </sheetView>
  </sheetViews>
  <sheetFormatPr defaultRowHeight="14.25" x14ac:dyDescent="0.2"/>
  <cols>
    <col min="1" max="2" width="9" style="1"/>
    <col min="3" max="3" width="12.375" style="1" bestFit="1" customWidth="1"/>
    <col min="4" max="10" width="9" style="3"/>
    <col min="11" max="11" width="9" style="4"/>
    <col min="12" max="15" width="9" style="3"/>
    <col min="16" max="16" width="9" style="1" customWidth="1"/>
    <col min="17" max="16384" width="9" style="1"/>
  </cols>
  <sheetData>
    <row r="1" spans="1:29" s="2" customFormat="1" x14ac:dyDescent="0.2">
      <c r="A1" s="2" t="s">
        <v>0</v>
      </c>
      <c r="B1" s="2" t="s">
        <v>1</v>
      </c>
      <c r="C1" s="2" t="s">
        <v>85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Q1" s="2" t="s">
        <v>56</v>
      </c>
    </row>
    <row r="2" spans="1:29" x14ac:dyDescent="0.2">
      <c r="A2" s="1" t="s">
        <v>14</v>
      </c>
      <c r="B2" s="1" t="s">
        <v>15</v>
      </c>
      <c r="C2" s="1" t="s">
        <v>89</v>
      </c>
      <c r="D2" s="3">
        <f>LEFT(R2,LEN(R2)-1)/30</f>
        <v>0.24000000000000002</v>
      </c>
      <c r="E2" s="3">
        <f t="shared" ref="E2:O5" si="0">LEFT(S2,LEN(S2)-1)/30</f>
        <v>0.2</v>
      </c>
      <c r="F2" s="3">
        <f t="shared" si="0"/>
        <v>0.21333333333333335</v>
      </c>
      <c r="G2" s="3">
        <f t="shared" si="0"/>
        <v>0.17333333333333334</v>
      </c>
      <c r="H2" s="3">
        <f t="shared" si="0"/>
        <v>0.23666666666666666</v>
      </c>
      <c r="I2" s="3">
        <f t="shared" si="0"/>
        <v>0.26333333333333336</v>
      </c>
      <c r="J2" s="3">
        <f t="shared" si="0"/>
        <v>0.28000000000000003</v>
      </c>
      <c r="K2" s="4">
        <f t="shared" si="0"/>
        <v>0.2533333333333333</v>
      </c>
      <c r="L2" s="3">
        <f t="shared" si="0"/>
        <v>0.20666666666666667</v>
      </c>
      <c r="M2" s="3">
        <f t="shared" si="0"/>
        <v>0.20333333333333331</v>
      </c>
      <c r="N2" s="3">
        <f t="shared" si="0"/>
        <v>0.22</v>
      </c>
      <c r="O2" s="3">
        <f t="shared" si="0"/>
        <v>0.26999999999999996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</row>
    <row r="3" spans="1:29" x14ac:dyDescent="0.2">
      <c r="A3" s="1" t="s">
        <v>14</v>
      </c>
      <c r="B3" s="1" t="s">
        <v>28</v>
      </c>
      <c r="C3" s="1" t="s">
        <v>86</v>
      </c>
      <c r="D3" s="3">
        <f t="shared" ref="D3:D5" si="1">LEFT(R3,LEN(R3)-1)/30</f>
        <v>0.30666666666666664</v>
      </c>
      <c r="E3" s="3">
        <f t="shared" si="0"/>
        <v>0.24333333333333332</v>
      </c>
      <c r="F3" s="3">
        <f t="shared" si="0"/>
        <v>0.26333333333333336</v>
      </c>
      <c r="G3" s="3">
        <f t="shared" si="0"/>
        <v>0.22666666666666666</v>
      </c>
      <c r="H3" s="3">
        <f t="shared" si="0"/>
        <v>0.26333333333333336</v>
      </c>
      <c r="I3" s="3">
        <f t="shared" si="0"/>
        <v>0.31</v>
      </c>
      <c r="J3" s="3">
        <f t="shared" si="0"/>
        <v>0.33666666666666667</v>
      </c>
      <c r="K3" s="4">
        <f t="shared" si="0"/>
        <v>0.30333333333333334</v>
      </c>
      <c r="L3" s="3">
        <f t="shared" si="0"/>
        <v>0.26666666666666666</v>
      </c>
      <c r="M3" s="3">
        <f t="shared" si="0"/>
        <v>0.29333333333333333</v>
      </c>
      <c r="N3" s="3">
        <f t="shared" si="0"/>
        <v>0.3</v>
      </c>
      <c r="O3" s="3">
        <f t="shared" si="0"/>
        <v>0.31666666666666665</v>
      </c>
      <c r="Q3" s="1" t="s">
        <v>28</v>
      </c>
      <c r="R3" s="1" t="s">
        <v>29</v>
      </c>
      <c r="S3" s="1" t="s">
        <v>30</v>
      </c>
      <c r="T3" s="1" t="s">
        <v>21</v>
      </c>
      <c r="U3" s="1" t="s">
        <v>31</v>
      </c>
      <c r="V3" s="1" t="s">
        <v>21</v>
      </c>
      <c r="W3" s="1" t="s">
        <v>32</v>
      </c>
      <c r="X3" s="1" t="s">
        <v>33</v>
      </c>
      <c r="Y3" s="1" t="s">
        <v>34</v>
      </c>
      <c r="Z3" s="1" t="s">
        <v>35</v>
      </c>
      <c r="AA3" s="1" t="s">
        <v>36</v>
      </c>
      <c r="AB3" s="1" t="s">
        <v>37</v>
      </c>
      <c r="AC3" s="1" t="s">
        <v>38</v>
      </c>
    </row>
    <row r="4" spans="1:29" x14ac:dyDescent="0.2">
      <c r="A4" s="1" t="s">
        <v>14</v>
      </c>
      <c r="B4" s="1" t="s">
        <v>39</v>
      </c>
      <c r="C4" s="1" t="s">
        <v>87</v>
      </c>
      <c r="D4" s="3">
        <f t="shared" si="1"/>
        <v>0.27666666666666667</v>
      </c>
      <c r="E4" s="3">
        <f t="shared" si="0"/>
        <v>0.23666666666666666</v>
      </c>
      <c r="F4" s="3">
        <f t="shared" si="0"/>
        <v>0.29333333333333333</v>
      </c>
      <c r="G4" s="3">
        <f t="shared" si="0"/>
        <v>0.32333333333333331</v>
      </c>
      <c r="H4" s="3">
        <f t="shared" si="0"/>
        <v>0.41666666666666669</v>
      </c>
      <c r="I4" s="3">
        <f t="shared" si="0"/>
        <v>0.47333333333333333</v>
      </c>
      <c r="J4" s="3">
        <f t="shared" si="0"/>
        <v>0.46333333333333332</v>
      </c>
      <c r="K4" s="4">
        <f t="shared" si="0"/>
        <v>0.41000000000000003</v>
      </c>
      <c r="L4" s="3">
        <f t="shared" si="0"/>
        <v>0.33</v>
      </c>
      <c r="M4" s="3">
        <f t="shared" si="0"/>
        <v>0.27666666666666667</v>
      </c>
      <c r="N4" s="3">
        <f t="shared" si="0"/>
        <v>0.27333333333333332</v>
      </c>
      <c r="O4" s="3">
        <f t="shared" si="0"/>
        <v>0.28666666666666668</v>
      </c>
      <c r="Q4" s="1" t="s">
        <v>39</v>
      </c>
      <c r="R4" s="1" t="s">
        <v>40</v>
      </c>
      <c r="S4" s="1" t="s">
        <v>20</v>
      </c>
      <c r="T4" s="1" t="s">
        <v>36</v>
      </c>
      <c r="U4" s="1" t="s">
        <v>41</v>
      </c>
      <c r="V4" s="1" t="s">
        <v>42</v>
      </c>
      <c r="W4" s="1" t="s">
        <v>43</v>
      </c>
      <c r="X4" s="1" t="s">
        <v>44</v>
      </c>
      <c r="Y4" s="1" t="s">
        <v>45</v>
      </c>
      <c r="Z4" s="1" t="s">
        <v>46</v>
      </c>
      <c r="AA4" s="1" t="s">
        <v>40</v>
      </c>
      <c r="AB4" s="1" t="s">
        <v>47</v>
      </c>
      <c r="AC4" s="1" t="s">
        <v>48</v>
      </c>
    </row>
    <row r="5" spans="1:29" x14ac:dyDescent="0.2">
      <c r="A5" s="1" t="s">
        <v>14</v>
      </c>
      <c r="B5" s="1" t="s">
        <v>49</v>
      </c>
      <c r="C5" s="1" t="s">
        <v>88</v>
      </c>
      <c r="D5" s="3">
        <f t="shared" si="1"/>
        <v>0.31333333333333335</v>
      </c>
      <c r="E5" s="3">
        <f t="shared" si="0"/>
        <v>0.25666666666666665</v>
      </c>
      <c r="F5" s="3">
        <f t="shared" si="0"/>
        <v>0.26999999999999996</v>
      </c>
      <c r="G5" s="3">
        <f t="shared" si="0"/>
        <v>0.27333333333333332</v>
      </c>
      <c r="H5" s="3">
        <f t="shared" si="0"/>
        <v>0.31666666666666665</v>
      </c>
      <c r="I5" s="3">
        <f t="shared" si="0"/>
        <v>0.32</v>
      </c>
      <c r="J5" s="3">
        <f t="shared" si="0"/>
        <v>0.34333333333333338</v>
      </c>
      <c r="K5" s="4">
        <f t="shared" si="0"/>
        <v>0.31333333333333335</v>
      </c>
      <c r="L5" s="3">
        <f t="shared" si="0"/>
        <v>0.28666666666666668</v>
      </c>
      <c r="M5" s="3">
        <f t="shared" si="0"/>
        <v>0.29666666666666669</v>
      </c>
      <c r="N5" s="3">
        <f t="shared" si="0"/>
        <v>0.29666666666666669</v>
      </c>
      <c r="O5" s="3">
        <f t="shared" si="0"/>
        <v>0.35</v>
      </c>
      <c r="Q5" s="1" t="s">
        <v>49</v>
      </c>
      <c r="R5" s="1" t="s">
        <v>50</v>
      </c>
      <c r="S5" s="1" t="s">
        <v>51</v>
      </c>
      <c r="T5" s="1" t="s">
        <v>27</v>
      </c>
      <c r="U5" s="1" t="s">
        <v>47</v>
      </c>
      <c r="V5" s="1" t="s">
        <v>38</v>
      </c>
      <c r="W5" s="1" t="s">
        <v>52</v>
      </c>
      <c r="X5" s="1" t="s">
        <v>53</v>
      </c>
      <c r="Y5" s="1" t="s">
        <v>50</v>
      </c>
      <c r="Z5" s="1" t="s">
        <v>48</v>
      </c>
      <c r="AA5" s="1" t="s">
        <v>54</v>
      </c>
      <c r="AB5" s="1" t="s">
        <v>54</v>
      </c>
      <c r="AC5" s="1" t="s">
        <v>55</v>
      </c>
    </row>
    <row r="6" spans="1:29" x14ac:dyDescent="0.2">
      <c r="A6" s="1" t="s">
        <v>84</v>
      </c>
      <c r="B6" s="1" t="s">
        <v>59</v>
      </c>
      <c r="C6" s="1" t="s">
        <v>92</v>
      </c>
      <c r="D6" s="3">
        <f t="shared" ref="D6:D10" si="2">LEFT(R6,LEN(R6)-1)/30</f>
        <v>0.27666666666666667</v>
      </c>
      <c r="E6" s="3">
        <f t="shared" ref="E6:E10" si="3">LEFT(S6,LEN(S6)-1)/30</f>
        <v>0.22</v>
      </c>
      <c r="F6" s="3">
        <f t="shared" ref="F6:F10" si="4">LEFT(T6,LEN(T6)-1)/30</f>
        <v>0.24333333333333332</v>
      </c>
      <c r="G6" s="3">
        <f t="shared" ref="G6:G10" si="5">LEFT(U6,LEN(U6)-1)/30</f>
        <v>0.23333333333333334</v>
      </c>
      <c r="H6" s="3">
        <f t="shared" ref="H6:H10" si="6">LEFT(V6,LEN(V6)-1)/30</f>
        <v>0.29666666666666669</v>
      </c>
      <c r="I6" s="3">
        <f t="shared" ref="I6:I10" si="7">LEFT(W6,LEN(W6)-1)/30</f>
        <v>0.2533333333333333</v>
      </c>
      <c r="J6" s="3">
        <f t="shared" ref="J6:J10" si="8">LEFT(X6,LEN(X6)-1)/30</f>
        <v>0.23333333333333334</v>
      </c>
      <c r="K6" s="4">
        <f t="shared" ref="K6:K10" si="9">LEFT(Y6,LEN(Y6)-1)/30</f>
        <v>0.22</v>
      </c>
      <c r="L6" s="3">
        <f t="shared" ref="L6:L10" si="10">LEFT(Z6,LEN(Z6)-1)/30</f>
        <v>0.23333333333333334</v>
      </c>
      <c r="M6" s="3">
        <f t="shared" ref="M6:M10" si="11">LEFT(AA6,LEN(AA6)-1)/30</f>
        <v>0.26666666666666666</v>
      </c>
      <c r="N6" s="3">
        <f t="shared" ref="N6:N10" si="12">LEFT(AB6,LEN(AB6)-1)/30</f>
        <v>0.26</v>
      </c>
      <c r="O6" s="3">
        <f t="shared" ref="O6:O10" si="13">LEFT(AC6,LEN(AC6)-1)/30</f>
        <v>0.3</v>
      </c>
      <c r="Q6" s="1" t="s">
        <v>59</v>
      </c>
      <c r="R6" s="1" t="s">
        <v>40</v>
      </c>
      <c r="S6" s="1" t="s">
        <v>26</v>
      </c>
      <c r="T6" s="1" t="s">
        <v>30</v>
      </c>
      <c r="U6" s="1" t="s">
        <v>60</v>
      </c>
      <c r="V6" s="1" t="s">
        <v>54</v>
      </c>
      <c r="W6" s="1" t="s">
        <v>23</v>
      </c>
      <c r="X6" s="1" t="s">
        <v>60</v>
      </c>
      <c r="Y6" s="1" t="s">
        <v>26</v>
      </c>
      <c r="Z6" s="1" t="s">
        <v>60</v>
      </c>
      <c r="AA6" s="1" t="s">
        <v>35</v>
      </c>
      <c r="AB6" s="1" t="s">
        <v>61</v>
      </c>
      <c r="AC6" s="1" t="s">
        <v>37</v>
      </c>
    </row>
    <row r="7" spans="1:29" x14ac:dyDescent="0.2">
      <c r="A7" s="1" t="s">
        <v>84</v>
      </c>
      <c r="B7" s="1" t="s">
        <v>62</v>
      </c>
      <c r="C7" s="1" t="s">
        <v>93</v>
      </c>
      <c r="D7" s="3">
        <f t="shared" si="2"/>
        <v>0.16333333333333336</v>
      </c>
      <c r="E7" s="3">
        <f t="shared" si="3"/>
        <v>0.14333333333333334</v>
      </c>
      <c r="F7" s="3">
        <f t="shared" si="4"/>
        <v>0.14666666666666667</v>
      </c>
      <c r="G7" s="3">
        <f t="shared" si="5"/>
        <v>0.17666666666666667</v>
      </c>
      <c r="H7" s="3">
        <f t="shared" si="6"/>
        <v>0.15666666666666668</v>
      </c>
      <c r="I7" s="3">
        <f t="shared" si="7"/>
        <v>0.11</v>
      </c>
      <c r="J7" s="3">
        <f t="shared" si="8"/>
        <v>6.0000000000000005E-2</v>
      </c>
      <c r="K7" s="4">
        <f t="shared" si="9"/>
        <v>9.0000000000000011E-2</v>
      </c>
      <c r="L7" s="3">
        <f t="shared" si="10"/>
        <v>0.16666666666666666</v>
      </c>
      <c r="M7" s="3">
        <f t="shared" si="11"/>
        <v>0.23333333333333334</v>
      </c>
      <c r="N7" s="3">
        <f t="shared" si="12"/>
        <v>0.20666666666666667</v>
      </c>
      <c r="O7" s="3">
        <f t="shared" si="13"/>
        <v>0.16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60</v>
      </c>
      <c r="AB7" s="1" t="s">
        <v>24</v>
      </c>
      <c r="AC7" s="1" t="s">
        <v>72</v>
      </c>
    </row>
    <row r="8" spans="1:29" x14ac:dyDescent="0.2">
      <c r="A8" s="1" t="s">
        <v>84</v>
      </c>
      <c r="B8" s="1" t="s">
        <v>73</v>
      </c>
      <c r="C8" s="1" t="s">
        <v>94</v>
      </c>
      <c r="D8" s="3">
        <f t="shared" si="2"/>
        <v>0.41000000000000003</v>
      </c>
      <c r="E8" s="3">
        <f t="shared" si="3"/>
        <v>0.31333333333333335</v>
      </c>
      <c r="F8" s="3">
        <f t="shared" si="4"/>
        <v>0.29333333333333333</v>
      </c>
      <c r="G8" s="3">
        <f t="shared" si="5"/>
        <v>0.26333333333333336</v>
      </c>
      <c r="H8" s="3">
        <f t="shared" si="6"/>
        <v>0.2533333333333333</v>
      </c>
      <c r="I8" s="3">
        <f t="shared" si="7"/>
        <v>0.19666666666666668</v>
      </c>
      <c r="J8" s="3">
        <f t="shared" si="8"/>
        <v>0.18333333333333332</v>
      </c>
      <c r="K8" s="4">
        <f t="shared" si="9"/>
        <v>0.18666666666666665</v>
      </c>
      <c r="L8" s="3">
        <f t="shared" si="10"/>
        <v>0.23666666666666666</v>
      </c>
      <c r="M8" s="3">
        <f t="shared" si="11"/>
        <v>0.35666666666666663</v>
      </c>
      <c r="N8" s="3">
        <f t="shared" si="12"/>
        <v>0.37666666666666671</v>
      </c>
      <c r="O8" s="3">
        <f t="shared" si="13"/>
        <v>0.41000000000000003</v>
      </c>
      <c r="Q8" s="1" t="s">
        <v>73</v>
      </c>
      <c r="R8" s="1" t="s">
        <v>45</v>
      </c>
      <c r="S8" s="1" t="s">
        <v>50</v>
      </c>
      <c r="T8" s="1" t="s">
        <v>36</v>
      </c>
      <c r="U8" s="1" t="s">
        <v>21</v>
      </c>
      <c r="V8" s="1" t="s">
        <v>23</v>
      </c>
      <c r="W8" s="1" t="s">
        <v>74</v>
      </c>
      <c r="X8" s="1" t="s">
        <v>75</v>
      </c>
      <c r="Y8" s="1" t="s">
        <v>76</v>
      </c>
      <c r="Z8" s="1" t="s">
        <v>20</v>
      </c>
      <c r="AA8" s="1" t="s">
        <v>77</v>
      </c>
      <c r="AB8" s="1" t="s">
        <v>78</v>
      </c>
      <c r="AC8" s="1" t="s">
        <v>45</v>
      </c>
    </row>
    <row r="9" spans="1:29" x14ac:dyDescent="0.2">
      <c r="A9" s="1" t="s">
        <v>84</v>
      </c>
      <c r="B9" s="1" t="s">
        <v>79</v>
      </c>
      <c r="C9" s="1" t="s">
        <v>91</v>
      </c>
      <c r="D9" s="3">
        <f t="shared" si="2"/>
        <v>0.28000000000000003</v>
      </c>
      <c r="E9" s="3">
        <f t="shared" si="3"/>
        <v>0.22666666666666666</v>
      </c>
      <c r="F9" s="3">
        <f t="shared" si="4"/>
        <v>0.26</v>
      </c>
      <c r="G9" s="3">
        <f t="shared" si="5"/>
        <v>0.27333333333333332</v>
      </c>
      <c r="H9" s="3">
        <f t="shared" si="6"/>
        <v>0.35666666666666663</v>
      </c>
      <c r="I9" s="3">
        <f t="shared" si="7"/>
        <v>0.34333333333333338</v>
      </c>
      <c r="J9" s="3">
        <f t="shared" si="8"/>
        <v>0.32666666666666672</v>
      </c>
      <c r="K9" s="4">
        <f t="shared" si="9"/>
        <v>0.30666666666666664</v>
      </c>
      <c r="L9" s="3">
        <f t="shared" si="10"/>
        <v>0.27333333333333332</v>
      </c>
      <c r="M9" s="3">
        <f t="shared" si="11"/>
        <v>0.28666666666666668</v>
      </c>
      <c r="N9" s="3">
        <f t="shared" si="12"/>
        <v>0.26999999999999996</v>
      </c>
      <c r="O9" s="3">
        <f t="shared" si="13"/>
        <v>0.29666666666666669</v>
      </c>
      <c r="Q9" s="1" t="s">
        <v>79</v>
      </c>
      <c r="R9" s="1" t="s">
        <v>22</v>
      </c>
      <c r="S9" s="1" t="s">
        <v>31</v>
      </c>
      <c r="T9" s="1" t="s">
        <v>61</v>
      </c>
      <c r="U9" s="1" t="s">
        <v>47</v>
      </c>
      <c r="V9" s="1" t="s">
        <v>77</v>
      </c>
      <c r="W9" s="1" t="s">
        <v>53</v>
      </c>
      <c r="X9" s="1" t="s">
        <v>80</v>
      </c>
      <c r="Y9" s="1" t="s">
        <v>29</v>
      </c>
      <c r="Z9" s="1" t="s">
        <v>47</v>
      </c>
      <c r="AA9" s="1" t="s">
        <v>48</v>
      </c>
      <c r="AB9" s="1" t="s">
        <v>27</v>
      </c>
      <c r="AC9" s="1" t="s">
        <v>54</v>
      </c>
    </row>
    <row r="10" spans="1:29" x14ac:dyDescent="0.2">
      <c r="A10" s="1" t="s">
        <v>84</v>
      </c>
      <c r="B10" s="1" t="s">
        <v>81</v>
      </c>
      <c r="C10" s="1" t="s">
        <v>95</v>
      </c>
      <c r="D10" s="3">
        <f t="shared" si="2"/>
        <v>0.31666666666666665</v>
      </c>
      <c r="E10" s="3">
        <f t="shared" si="3"/>
        <v>0.25</v>
      </c>
      <c r="F10" s="3">
        <f t="shared" si="4"/>
        <v>0.25666666666666665</v>
      </c>
      <c r="G10" s="3">
        <f t="shared" si="5"/>
        <v>0.28999999999999998</v>
      </c>
      <c r="H10" s="3">
        <f t="shared" si="6"/>
        <v>0.29666666666666669</v>
      </c>
      <c r="I10" s="3">
        <f t="shared" si="7"/>
        <v>0.24333333333333332</v>
      </c>
      <c r="J10" s="3">
        <f t="shared" si="8"/>
        <v>0.18333333333333332</v>
      </c>
      <c r="K10" s="4">
        <f t="shared" si="9"/>
        <v>0.18333333333333332</v>
      </c>
      <c r="L10" s="3">
        <f t="shared" si="10"/>
        <v>0.23666666666666666</v>
      </c>
      <c r="M10" s="3">
        <f t="shared" si="11"/>
        <v>0.29333333333333333</v>
      </c>
      <c r="N10" s="3">
        <f t="shared" si="12"/>
        <v>0.32</v>
      </c>
      <c r="O10" s="3">
        <f t="shared" si="13"/>
        <v>0.32</v>
      </c>
      <c r="Q10" s="1" t="s">
        <v>81</v>
      </c>
      <c r="R10" s="1" t="s">
        <v>38</v>
      </c>
      <c r="S10" s="1" t="s">
        <v>82</v>
      </c>
      <c r="T10" s="1" t="s">
        <v>51</v>
      </c>
      <c r="U10" s="1" t="s">
        <v>83</v>
      </c>
      <c r="V10" s="1" t="s">
        <v>54</v>
      </c>
      <c r="W10" s="1" t="s">
        <v>30</v>
      </c>
      <c r="X10" s="1" t="s">
        <v>75</v>
      </c>
      <c r="Y10" s="1" t="s">
        <v>75</v>
      </c>
      <c r="Z10" s="1" t="s">
        <v>20</v>
      </c>
      <c r="AA10" s="1" t="s">
        <v>36</v>
      </c>
      <c r="AB10" s="1" t="s">
        <v>52</v>
      </c>
      <c r="AC10" s="1" t="s">
        <v>52</v>
      </c>
    </row>
    <row r="11" spans="1:29" x14ac:dyDescent="0.2">
      <c r="A11" s="1" t="s">
        <v>96</v>
      </c>
      <c r="B11" s="1" t="s">
        <v>97</v>
      </c>
      <c r="C11" s="1" t="s">
        <v>110</v>
      </c>
      <c r="D11" s="3">
        <f t="shared" ref="D11:D13" si="14">LEFT(R11,LEN(R11)-1)/30</f>
        <v>0.32333333333333331</v>
      </c>
      <c r="E11" s="3">
        <f t="shared" ref="E11:E13" si="15">LEFT(S11,LEN(S11)-1)/30</f>
        <v>0.27333333333333332</v>
      </c>
      <c r="F11" s="3">
        <f t="shared" ref="F11:F13" si="16">LEFT(T11,LEN(T11)-1)/30</f>
        <v>0.33333333333333331</v>
      </c>
      <c r="G11" s="3">
        <f t="shared" ref="G11:G13" si="17">LEFT(U11,LEN(U11)-1)/30</f>
        <v>0.36666666666666664</v>
      </c>
      <c r="H11" s="3">
        <f t="shared" ref="H11:H13" si="18">LEFT(V11,LEN(V11)-1)/30</f>
        <v>0.44666666666666666</v>
      </c>
      <c r="I11" s="3">
        <f t="shared" ref="I11:I13" si="19">LEFT(W11,LEN(W11)-1)/30</f>
        <v>0.46333333333333332</v>
      </c>
      <c r="J11" s="3">
        <f t="shared" ref="J11:J13" si="20">LEFT(X11,LEN(X11)-1)/30</f>
        <v>0.44333333333333336</v>
      </c>
      <c r="K11" s="4">
        <f t="shared" ref="K11:K13" si="21">LEFT(Y11,LEN(Y11)-1)/30</f>
        <v>0.41000000000000003</v>
      </c>
      <c r="L11" s="3">
        <f t="shared" ref="L11:L13" si="22">LEFT(Z11,LEN(Z11)-1)/30</f>
        <v>0.34333333333333338</v>
      </c>
      <c r="M11" s="3">
        <f t="shared" ref="M11:M13" si="23">LEFT(AA11,LEN(AA11)-1)/30</f>
        <v>0.32333333333333331</v>
      </c>
      <c r="N11" s="3">
        <f t="shared" ref="N11:N13" si="24">LEFT(AB11,LEN(AB11)-1)/30</f>
        <v>0.31666666666666665</v>
      </c>
      <c r="O11" s="3">
        <f t="shared" ref="O11:O13" si="25">LEFT(AC11,LEN(AC11)-1)/30</f>
        <v>0.34666666666666668</v>
      </c>
      <c r="Q11" s="1" t="s">
        <v>97</v>
      </c>
      <c r="R11" s="1" t="s">
        <v>41</v>
      </c>
      <c r="S11" s="1" t="s">
        <v>47</v>
      </c>
      <c r="T11" s="1" t="s">
        <v>98</v>
      </c>
      <c r="U11" s="1" t="s">
        <v>99</v>
      </c>
      <c r="V11" s="1" t="s">
        <v>100</v>
      </c>
      <c r="W11" s="1" t="s">
        <v>44</v>
      </c>
      <c r="X11" s="1" t="s">
        <v>101</v>
      </c>
      <c r="Y11" s="1" t="s">
        <v>45</v>
      </c>
      <c r="Z11" s="1" t="s">
        <v>53</v>
      </c>
      <c r="AA11" s="1" t="s">
        <v>41</v>
      </c>
      <c r="AB11" s="1" t="s">
        <v>38</v>
      </c>
      <c r="AC11" s="1" t="s">
        <v>102</v>
      </c>
    </row>
    <row r="12" spans="1:29" x14ac:dyDescent="0.2">
      <c r="A12" s="1" t="s">
        <v>96</v>
      </c>
      <c r="B12" s="1" t="s">
        <v>109</v>
      </c>
      <c r="C12" s="1" t="s">
        <v>90</v>
      </c>
      <c r="D12" s="3">
        <f t="shared" si="14"/>
        <v>0.32</v>
      </c>
      <c r="E12" s="3">
        <f t="shared" si="15"/>
        <v>0.27666666666666667</v>
      </c>
      <c r="F12" s="3">
        <f t="shared" si="16"/>
        <v>0.3</v>
      </c>
      <c r="G12" s="3">
        <f t="shared" si="17"/>
        <v>0.31</v>
      </c>
      <c r="H12" s="3">
        <f t="shared" si="18"/>
        <v>0.38666666666666666</v>
      </c>
      <c r="I12" s="3">
        <f t="shared" si="19"/>
        <v>0.36666666666666664</v>
      </c>
      <c r="J12" s="3">
        <f t="shared" si="20"/>
        <v>0.33</v>
      </c>
      <c r="K12" s="4">
        <f t="shared" si="21"/>
        <v>0.3</v>
      </c>
      <c r="L12" s="3">
        <f t="shared" si="22"/>
        <v>0.3</v>
      </c>
      <c r="M12" s="3">
        <f t="shared" si="23"/>
        <v>0.33</v>
      </c>
      <c r="N12" s="3">
        <f t="shared" si="24"/>
        <v>0.31333333333333335</v>
      </c>
      <c r="O12" s="3">
        <f t="shared" si="25"/>
        <v>0.33666666666666667</v>
      </c>
      <c r="Q12" s="1" t="s">
        <v>103</v>
      </c>
      <c r="R12" s="1" t="s">
        <v>52</v>
      </c>
      <c r="S12" s="1" t="s">
        <v>40</v>
      </c>
      <c r="T12" s="1" t="s">
        <v>37</v>
      </c>
      <c r="U12" s="1" t="s">
        <v>32</v>
      </c>
      <c r="V12" s="1" t="s">
        <v>104</v>
      </c>
      <c r="W12" s="1" t="s">
        <v>99</v>
      </c>
      <c r="X12" s="1" t="s">
        <v>46</v>
      </c>
      <c r="Y12" s="1" t="s">
        <v>37</v>
      </c>
      <c r="Z12" s="1" t="s">
        <v>37</v>
      </c>
      <c r="AA12" s="1" t="s">
        <v>46</v>
      </c>
      <c r="AB12" s="1" t="s">
        <v>50</v>
      </c>
      <c r="AC12" s="1" t="s">
        <v>33</v>
      </c>
    </row>
    <row r="13" spans="1:29" x14ac:dyDescent="0.2">
      <c r="A13" s="1" t="s">
        <v>96</v>
      </c>
      <c r="B13" s="1" t="s">
        <v>105</v>
      </c>
      <c r="C13" s="1" t="s">
        <v>111</v>
      </c>
      <c r="D13" s="3">
        <f t="shared" si="14"/>
        <v>0.29333333333333333</v>
      </c>
      <c r="E13" s="3">
        <f t="shared" si="15"/>
        <v>0.26333333333333336</v>
      </c>
      <c r="F13" s="3">
        <f t="shared" si="16"/>
        <v>0.30666666666666664</v>
      </c>
      <c r="G13" s="3">
        <f t="shared" si="17"/>
        <v>0.33666666666666667</v>
      </c>
      <c r="H13" s="3">
        <f t="shared" si="18"/>
        <v>0.42666666666666669</v>
      </c>
      <c r="I13" s="3">
        <f t="shared" si="19"/>
        <v>0.41333333333333333</v>
      </c>
      <c r="J13" s="3">
        <f t="shared" si="20"/>
        <v>0.38666666666666666</v>
      </c>
      <c r="K13" s="4">
        <f t="shared" si="21"/>
        <v>0.36000000000000004</v>
      </c>
      <c r="L13" s="3">
        <f t="shared" si="22"/>
        <v>0.32</v>
      </c>
      <c r="M13" s="3">
        <f t="shared" si="23"/>
        <v>0.32666666666666672</v>
      </c>
      <c r="N13" s="3">
        <f t="shared" si="24"/>
        <v>0.29333333333333333</v>
      </c>
      <c r="O13" s="3">
        <f t="shared" si="25"/>
        <v>0.32</v>
      </c>
      <c r="Q13" s="1" t="s">
        <v>105</v>
      </c>
      <c r="R13" s="1" t="s">
        <v>36</v>
      </c>
      <c r="S13" s="1" t="s">
        <v>21</v>
      </c>
      <c r="T13" s="1" t="s">
        <v>29</v>
      </c>
      <c r="U13" s="1" t="s">
        <v>33</v>
      </c>
      <c r="V13" s="1" t="s">
        <v>106</v>
      </c>
      <c r="W13" s="1" t="s">
        <v>107</v>
      </c>
      <c r="X13" s="1" t="s">
        <v>104</v>
      </c>
      <c r="Y13" s="1" t="s">
        <v>108</v>
      </c>
      <c r="Z13" s="1" t="s">
        <v>52</v>
      </c>
      <c r="AA13" s="1" t="s">
        <v>80</v>
      </c>
      <c r="AB13" s="1" t="s">
        <v>36</v>
      </c>
      <c r="AC13" s="1" t="s">
        <v>52</v>
      </c>
    </row>
  </sheetData>
  <autoFilter ref="A1:O5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CBE5-B440-43FE-AEB9-E96149D5EF60}">
  <dimension ref="A1:B7"/>
  <sheetViews>
    <sheetView workbookViewId="0">
      <selection activeCell="D10" sqref="D10"/>
    </sheetView>
  </sheetViews>
  <sheetFormatPr defaultRowHeight="14.25" x14ac:dyDescent="0.2"/>
  <sheetData>
    <row r="1" spans="1:2" x14ac:dyDescent="0.2">
      <c r="A1" t="s">
        <v>57</v>
      </c>
      <c r="B1" t="s">
        <v>58</v>
      </c>
    </row>
    <row r="2" spans="1:2" x14ac:dyDescent="0.2">
      <c r="A2" t="s">
        <v>112</v>
      </c>
    </row>
    <row r="3" spans="1:2" x14ac:dyDescent="0.2">
      <c r="A3" t="s">
        <v>113</v>
      </c>
      <c r="B3" t="s">
        <v>118</v>
      </c>
    </row>
    <row r="4" spans="1:2" x14ac:dyDescent="0.2">
      <c r="A4" t="s">
        <v>114</v>
      </c>
      <c r="B4" t="s">
        <v>119</v>
      </c>
    </row>
    <row r="5" spans="1:2" x14ac:dyDescent="0.2">
      <c r="A5" t="s">
        <v>115</v>
      </c>
      <c r="B5" t="s">
        <v>120</v>
      </c>
    </row>
    <row r="6" spans="1:2" x14ac:dyDescent="0.2">
      <c r="A6" t="s">
        <v>116</v>
      </c>
      <c r="B6" t="s">
        <v>121</v>
      </c>
    </row>
    <row r="7" spans="1:2" x14ac:dyDescent="0.2">
      <c r="A7" t="s">
        <v>117</v>
      </c>
      <c r="B7" t="s">
        <v>122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shengtai chen</dc:creator>
  <cp:lastModifiedBy>jamestroye</cp:lastModifiedBy>
  <dcterms:created xsi:type="dcterms:W3CDTF">2015-06-05T18:19:34Z</dcterms:created>
  <dcterms:modified xsi:type="dcterms:W3CDTF">2025-07-29T01:25:33Z</dcterms:modified>
</cp:coreProperties>
</file>